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90" windowWidth="29040" windowHeight="15840" tabRatio="600" firstSheet="0" activeTab="0" autoFilterDateGrouping="1"/>
  </bookViews>
  <sheets>
    <sheet xmlns:r="http://schemas.openxmlformats.org/officeDocument/2006/relationships" name="Hoja1" sheetId="1" state="visible" r:id="rId1"/>
  </sheets>
  <definedNames>
    <definedName name="_xlnm.Print_Area" localSheetId="0">'Hoja1'!$A$1:$V$32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m/d/yy;@"/>
    <numFmt numFmtId="165" formatCode="h:mm:ss;@"/>
  </numFmts>
  <fonts count="9"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i val="1"/>
      <color theme="1"/>
      <sz val="11"/>
      <scheme val="minor"/>
    </font>
    <font>
      <name val="Aptos Narrow"/>
      <family val="2"/>
      <i val="1"/>
      <color theme="1"/>
      <sz val="10"/>
      <scheme val="minor"/>
    </font>
    <font>
      <name val="Aptos Narrow"/>
      <family val="2"/>
      <b val="1"/>
      <i val="1"/>
      <color theme="1"/>
      <sz val="11"/>
      <scheme val="minor"/>
    </font>
    <font>
      <name val="Aptos Narrow"/>
      <family val="2"/>
      <b val="1"/>
      <color rgb="FFFF0000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">
    <border>
      <left/>
      <right/>
      <top/>
      <bottom/>
      <diagonal/>
    </border>
  </borders>
  <cellStyleXfs count="2">
    <xf numFmtId="0" fontId="7" fillId="0" borderId="0"/>
    <xf numFmtId="43" fontId="7" fillId="0" borderId="0"/>
  </cellStyleXfs>
  <cellXfs count="2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applyAlignment="1" pivotButton="0" quotePrefix="0" xfId="0">
      <alignment horizontal="right"/>
    </xf>
    <xf numFmtId="0" fontId="4" fillId="0" borderId="0" pivotButton="0" quotePrefix="0" xfId="0"/>
    <xf numFmtId="0" fontId="0" fillId="0" borderId="0" applyAlignment="1" pivotButton="0" quotePrefix="0" xfId="0">
      <alignment vertical="top"/>
    </xf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2" fillId="0" borderId="0" applyAlignment="1" pivotButton="0" quotePrefix="0" xfId="0">
      <alignment vertical="top"/>
    </xf>
    <xf numFmtId="0" fontId="2" fillId="2" borderId="0" pivotButton="0" quotePrefix="0" xfId="0"/>
    <xf numFmtId="0" fontId="0" fillId="2" borderId="0" pivotButton="0" quotePrefix="0" xfId="0"/>
    <xf numFmtId="0" fontId="5" fillId="0" borderId="0" applyAlignment="1" pivotButton="0" quotePrefix="0" xfId="0">
      <alignment horizontal="center" vertical="center"/>
    </xf>
    <xf numFmtId="164" fontId="0" fillId="0" borderId="0" pivotButton="0" quotePrefix="0" xfId="0"/>
    <xf numFmtId="3" fontId="0" fillId="0" borderId="0" pivotButton="0" quotePrefix="0" xfId="0"/>
    <xf numFmtId="165" fontId="0" fillId="0" borderId="0" pivotButton="0" quotePrefix="0" xfId="0"/>
    <xf numFmtId="1" fontId="0" fillId="2" borderId="0" pivotButton="0" quotePrefix="0" xfId="1"/>
    <xf numFmtId="2" fontId="0" fillId="2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horizontal="left"/>
    </xf>
    <xf numFmtId="0" fontId="2" fillId="2" borderId="0" applyAlignment="1" pivotButton="0" quotePrefix="0" xfId="0">
      <alignment horizontal="center"/>
    </xf>
  </cellXfs>
  <cellStyles count="2">
    <cellStyle name="Normal" xfId="0" builtinId="0"/>
    <cellStyle name="Millares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Relationship Type="http://schemas.openxmlformats.org/officeDocument/2006/relationships/image" Target="/xl/media/image4.jpeg" Id="rId4"/><Relationship Type="http://schemas.openxmlformats.org/officeDocument/2006/relationships/image" Target="/xl/media/image5.jpeg" Id="rId5"/></Relationships>
</file>

<file path=xl/drawings/drawing1.xml><?xml version="1.0" encoding="utf-8"?>
<wsDr xmlns="http://schemas.openxmlformats.org/drawingml/2006/spreadsheetDrawing">
  <twoCellAnchor editAs="oneCell">
    <from>
      <col>10</col>
      <colOff>617988</colOff>
      <row>0</row>
      <rowOff>23864</rowOff>
    </from>
    <to>
      <col>10</col>
      <colOff>1087321</colOff>
      <row>1</row>
      <rowOff>23811</rowOff>
    </to>
    <pic>
      <nvPicPr>
        <cNvPr id="2" name="Imagen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708635" y="23864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twoCellAnchor editAs="oneCell">
    <from>
      <col>21</col>
      <colOff>215697</colOff>
      <row>0</row>
      <rowOff>39342</rowOff>
    </from>
    <to>
      <col>21</col>
      <colOff>685030</colOff>
      <row>1</row>
      <rowOff>39289</rowOff>
    </to>
    <pic>
      <nvPicPr>
        <cNvPr id="3" name="Imagen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7674462" y="39342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oneCellAnchor>
    <from>
      <col>6</col>
      <colOff>0</colOff>
      <row>5</row>
      <rowOff>0</rowOff>
    </from>
    <ext cx="3810000" cy="381000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5</row>
      <rowOff>0</rowOff>
    </from>
    <ext cx="7620000" cy="1905000"/>
    <pic>
      <nvPicPr>
        <cNvPr id="4" name="Image 4" descr="Picture"/>
        <cNvPicPr/>
      </nvPicPr>
      <blipFill>
        <a:blip xmlns:a="http://schemas.openxmlformats.org/drawingml/2006/main" xmlns:r="http://schemas.openxmlformats.org/officeDocument/2006/relationships" cstate="print" r:embed="rId4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20</row>
      <rowOff>0</rowOff>
    </from>
    <ext cx="7620000" cy="1905000"/>
    <pic>
      <nvPicPr>
        <cNvPr id="5" name="Image 5" descr="Picture"/>
        <cNvPicPr/>
      </nvPicPr>
      <blipFill>
        <a:blip xmlns:a="http://schemas.openxmlformats.org/drawingml/2006/main" xmlns:r="http://schemas.openxmlformats.org/officeDocument/2006/relationships" cstate="print" r:embed="rId5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K41"/>
  <sheetViews>
    <sheetView tabSelected="1" view="pageLayout" zoomScale="85" zoomScaleNormal="100" zoomScalePageLayoutView="85" workbookViewId="0">
      <selection activeCell="O31" sqref="O31"/>
    </sheetView>
  </sheetViews>
  <sheetFormatPr baseColWidth="10" defaultRowHeight="15"/>
  <cols>
    <col width="21.7109375" customWidth="1" min="1" max="1"/>
    <col width="12.140625" customWidth="1" min="2" max="2"/>
    <col width="7.7109375" customWidth="1" min="3" max="3"/>
    <col width="5.28515625" customWidth="1" min="9" max="9"/>
    <col width="10.140625" customWidth="1" min="10" max="10"/>
    <col width="17" customWidth="1" min="11" max="11"/>
    <col width="17" customWidth="1" min="24" max="24"/>
    <col width="9.28515625" customWidth="1" min="26" max="26"/>
  </cols>
  <sheetData>
    <row r="1" ht="22.5" customHeight="1">
      <c r="A1" s="8" t="inlineStr">
        <is>
          <t>ALL WEIGHTS IN KILOGRAMS</t>
        </is>
      </c>
      <c r="B1" s="9" t="n"/>
      <c r="C1" s="9" t="n"/>
      <c r="D1" s="9" t="n"/>
      <c r="E1" s="9" t="n"/>
      <c r="F1" s="7" t="inlineStr">
        <is>
          <t>OUTPUT</t>
        </is>
      </c>
      <c r="G1" s="9" t="n"/>
      <c r="H1" s="9" t="n"/>
      <c r="I1" s="6" t="n"/>
      <c r="J1" s="6" t="n"/>
      <c r="K1" s="6" t="n"/>
      <c r="L1" t="inlineStr">
        <is>
          <t>LOADING INSTRUCTION REPORT</t>
        </is>
      </c>
      <c r="Q1" s="12" t="inlineStr">
        <is>
          <t>LIR</t>
        </is>
      </c>
    </row>
    <row r="2">
      <c r="A2" s="2" t="inlineStr">
        <is>
          <t>Operator</t>
        </is>
      </c>
      <c r="B2" s="2" t="n"/>
      <c r="C2" s="2" t="inlineStr">
        <is>
          <t xml:space="preserve">Flight </t>
        </is>
      </c>
      <c r="D2" s="2" t="inlineStr">
        <is>
          <t xml:space="preserve">Date </t>
        </is>
      </c>
      <c r="E2" s="2" t="inlineStr">
        <is>
          <t>Registration</t>
        </is>
      </c>
      <c r="F2" s="2" t="inlineStr">
        <is>
          <t>Origin - Destination</t>
        </is>
      </c>
      <c r="G2" s="2" t="n"/>
      <c r="H2" s="2" t="inlineStr">
        <is>
          <t>Manifest Revision</t>
        </is>
      </c>
      <c r="L2" s="1" t="inlineStr">
        <is>
          <t>ALL WEIGHTS IN KILOGRAMS</t>
        </is>
      </c>
      <c r="O2" s="2" t="inlineStr">
        <is>
          <t>Operator</t>
        </is>
      </c>
      <c r="P2" s="2" t="inlineStr">
        <is>
          <t xml:space="preserve">Flight </t>
        </is>
      </c>
      <c r="Q2" s="2" t="inlineStr">
        <is>
          <t xml:space="preserve">Date </t>
        </is>
      </c>
      <c r="R2" s="2" t="inlineStr">
        <is>
          <t>Registration</t>
        </is>
      </c>
      <c r="S2" s="2" t="inlineStr">
        <is>
          <t>Origin - Destination</t>
        </is>
      </c>
      <c r="T2" s="2" t="n"/>
      <c r="U2" s="2" t="n"/>
      <c r="X2" s="2" t="inlineStr">
        <is>
          <t>Fueling Order</t>
        </is>
      </c>
    </row>
    <row r="3">
      <c r="A3" t="inlineStr">
        <is>
          <t>TAMPA CARGO</t>
        </is>
      </c>
      <c r="C3" t="inlineStr">
        <is>
          <t>TPA4013</t>
        </is>
      </c>
      <c r="D3" t="inlineStr">
        <is>
          <t>13/05/2025</t>
        </is>
      </c>
      <c r="E3" t="inlineStr">
        <is>
          <t>N330QT</t>
        </is>
      </c>
      <c r="F3" t="inlineStr">
        <is>
          <t>MIA-BOG</t>
        </is>
      </c>
      <c r="H3" t="inlineStr">
        <is>
          <t>0</t>
        </is>
      </c>
      <c r="O3">
        <f>+A3</f>
        <v/>
      </c>
      <c r="P3">
        <f>+C3</f>
        <v/>
      </c>
      <c r="Q3">
        <f>+D3</f>
        <v/>
      </c>
      <c r="R3">
        <f>+E3</f>
        <v/>
      </c>
      <c r="S3">
        <f>+F3</f>
        <v/>
      </c>
    </row>
    <row r="4">
      <c r="A4" s="10" t="inlineStr">
        <is>
          <t>OEW</t>
        </is>
      </c>
      <c r="B4" s="16" t="n">
        <v>110167</v>
      </c>
      <c r="X4" s="2" t="inlineStr">
        <is>
          <t>Operator</t>
        </is>
      </c>
      <c r="Y4">
        <f>+O3</f>
        <v/>
      </c>
    </row>
    <row r="5">
      <c r="A5" s="10" t="inlineStr">
        <is>
          <t>Trapped Fuel</t>
        </is>
      </c>
      <c r="B5" s="16" t="n">
        <v>0</v>
      </c>
      <c r="X5" s="2" t="inlineStr">
        <is>
          <t xml:space="preserve">Flight </t>
        </is>
      </c>
      <c r="Y5">
        <f>+P3</f>
        <v/>
      </c>
    </row>
    <row r="6">
      <c r="A6" s="10" t="inlineStr">
        <is>
          <t>Add/Removed Stuff</t>
        </is>
      </c>
      <c r="B6" s="16" t="n">
        <v>0</v>
      </c>
      <c r="D6" s="20" t="inlineStr">
        <is>
          <t>Performance Data</t>
        </is>
      </c>
      <c r="X6" s="2" t="inlineStr">
        <is>
          <t xml:space="preserve">Date </t>
        </is>
      </c>
      <c r="Y6">
        <f>+Q3</f>
        <v/>
      </c>
    </row>
    <row r="7">
      <c r="A7" s="10" t="inlineStr">
        <is>
          <t>BOW</t>
        </is>
      </c>
      <c r="B7" s="16" t="n">
        <v>110167</v>
      </c>
      <c r="D7" s="10" t="inlineStr">
        <is>
          <t>Runway</t>
        </is>
      </c>
      <c r="E7" s="11" t="inlineStr">
        <is>
          <t>09</t>
        </is>
      </c>
      <c r="X7" s="2" t="inlineStr">
        <is>
          <t>Registration</t>
        </is>
      </c>
      <c r="Y7">
        <f>+R3</f>
        <v/>
      </c>
    </row>
    <row r="8">
      <c r="A8" s="10" t="inlineStr">
        <is>
          <t>Total Payload</t>
        </is>
      </c>
      <c r="B8" s="16" t="n">
        <v>59764</v>
      </c>
      <c r="D8" s="10" t="inlineStr">
        <is>
          <t>Conf.</t>
        </is>
      </c>
      <c r="E8" s="11" t="inlineStr">
        <is>
          <t>1+F</t>
        </is>
      </c>
      <c r="X8" s="2" t="inlineStr">
        <is>
          <t>Origin - Destination</t>
        </is>
      </c>
      <c r="Y8">
        <f>+S3</f>
        <v/>
      </c>
    </row>
    <row r="9">
      <c r="A9" s="10" t="inlineStr">
        <is>
          <t>MZFW</t>
        </is>
      </c>
      <c r="B9" s="16" t="n">
        <v>178000</v>
      </c>
      <c r="D9" s="10" t="inlineStr">
        <is>
          <t>Anti Ice.</t>
        </is>
      </c>
      <c r="E9" s="11" t="inlineStr">
        <is>
          <t>Off</t>
        </is>
      </c>
    </row>
    <row r="10">
      <c r="A10" s="10" t="inlineStr">
        <is>
          <t xml:space="preserve">Takeoff fuel </t>
        </is>
      </c>
      <c r="B10" s="16" t="n">
        <v>26150</v>
      </c>
      <c r="D10" s="10" t="inlineStr">
        <is>
          <t>A/C.</t>
        </is>
      </c>
      <c r="E10" s="11" t="inlineStr">
        <is>
          <t>Off</t>
        </is>
      </c>
      <c r="AG10" s="13" t="n"/>
      <c r="AH10" s="13" t="n"/>
      <c r="AI10" s="13" t="n"/>
      <c r="AJ10" s="13" t="n"/>
      <c r="AK10" s="13" t="n"/>
    </row>
    <row r="11">
      <c r="A11" s="10" t="inlineStr">
        <is>
          <t>Maximum allowed TOW</t>
        </is>
      </c>
      <c r="B11" s="16">
        <f>MIN(B36:B38)</f>
        <v/>
      </c>
      <c r="D11" s="10" t="inlineStr">
        <is>
          <t>Wind.</t>
        </is>
      </c>
      <c r="E11" s="11" t="inlineStr">
        <is>
          <t>Calm</t>
        </is>
      </c>
      <c r="AG11" s="13" t="n"/>
      <c r="AH11" s="13" t="n"/>
      <c r="AI11" s="13" t="n"/>
      <c r="AJ11" s="13" t="n"/>
      <c r="AK11" s="13" t="n"/>
    </row>
    <row r="12">
      <c r="A12" s="10" t="inlineStr">
        <is>
          <t>Taxi fuel</t>
        </is>
      </c>
      <c r="B12" s="16" t="n">
        <v>17890</v>
      </c>
      <c r="D12" s="10" t="inlineStr">
        <is>
          <t>Temp.</t>
        </is>
      </c>
      <c r="E12" s="11" t="n">
        <v>29</v>
      </c>
      <c r="AG12" s="13" t="n"/>
      <c r="AH12" s="13" t="n"/>
      <c r="AI12" s="13" t="n"/>
      <c r="AJ12" s="13" t="n"/>
      <c r="AK12" s="13" t="n"/>
    </row>
    <row r="13">
      <c r="A13" s="10" t="inlineStr">
        <is>
          <t>Trip Fuel</t>
        </is>
      </c>
      <c r="B13" s="16" t="n">
        <v>350</v>
      </c>
      <c r="D13" s="10" t="inlineStr">
        <is>
          <t>Pessure Alt.</t>
        </is>
      </c>
      <c r="E13" s="11" t="n">
        <v>1013</v>
      </c>
    </row>
    <row r="14">
      <c r="A14" s="10" t="inlineStr">
        <is>
          <t>Maximum allowed LW</t>
        </is>
      </c>
      <c r="B14" s="16">
        <f>MIN(B40:B41)</f>
        <v/>
      </c>
    </row>
    <row r="15">
      <c r="A15" s="10" t="inlineStr">
        <is>
          <t>Underload</t>
        </is>
      </c>
      <c r="B15" s="16" t="n">
        <v>8069</v>
      </c>
    </row>
    <row r="16">
      <c r="A16" s="10" t="inlineStr">
        <is>
          <t>Ramp Weight</t>
        </is>
      </c>
      <c r="B16" s="16" t="n">
        <v>196431</v>
      </c>
    </row>
    <row r="18">
      <c r="A18" s="10" t="inlineStr">
        <is>
          <t>ZFW / CG</t>
        </is>
      </c>
      <c r="B18" s="11" t="n">
        <v>169931</v>
      </c>
      <c r="C18" s="17" t="n">
        <v>21.5</v>
      </c>
      <c r="D18" t="inlineStr">
        <is>
          <t>%</t>
        </is>
      </c>
      <c r="L18" s="18">
        <f>+A25&amp;" (kg)"</f>
        <v/>
      </c>
      <c r="M18" s="19">
        <f>+B25</f>
        <v/>
      </c>
      <c r="N18" s="18">
        <f>+A26&amp;" (kg)"</f>
        <v/>
      </c>
      <c r="O18" s="19">
        <f>+B26</f>
        <v/>
      </c>
      <c r="P18" s="18">
        <f>+A27&amp;" (kg)"</f>
        <v/>
      </c>
      <c r="Q18" s="19">
        <f>+B27</f>
        <v/>
      </c>
      <c r="R18" s="18">
        <f>+A28&amp;" (kg)"</f>
        <v/>
      </c>
      <c r="S18" s="19">
        <f>+B28</f>
        <v/>
      </c>
      <c r="T18" s="18" t="inlineStr">
        <is>
          <t>Total Cargo (kg)</t>
        </is>
      </c>
      <c r="U18">
        <f>+S18+Q18+O18+M18</f>
        <v/>
      </c>
    </row>
    <row r="19">
      <c r="A19" s="10" t="inlineStr">
        <is>
          <t>TOW / CG</t>
        </is>
      </c>
      <c r="B19" s="11" t="n">
        <v>196081</v>
      </c>
      <c r="C19" s="17" t="n">
        <v>24.8</v>
      </c>
      <c r="D19" t="inlineStr">
        <is>
          <t>%</t>
        </is>
      </c>
    </row>
    <row r="20">
      <c r="A20" s="10" t="inlineStr">
        <is>
          <t>LW / CG</t>
        </is>
      </c>
      <c r="B20" s="11" t="n">
        <v>178191</v>
      </c>
      <c r="C20" s="17" t="n">
        <v>20</v>
      </c>
      <c r="D20" t="inlineStr">
        <is>
          <t>%</t>
        </is>
      </c>
    </row>
    <row r="21">
      <c r="A21" s="10" t="inlineStr">
        <is>
          <t>STAB TRIM</t>
        </is>
      </c>
      <c r="B21" s="11" t="n">
        <v>5.73</v>
      </c>
    </row>
    <row r="22"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</row>
    <row r="23">
      <c r="A23" s="10" t="inlineStr">
        <is>
          <t>Crew</t>
        </is>
      </c>
      <c r="B23" s="11" t="n">
        <v>2</v>
      </c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</row>
    <row r="24">
      <c r="A24" s="10" t="inlineStr">
        <is>
          <t>Passengers</t>
        </is>
      </c>
      <c r="B24" s="11" t="n">
        <v>0</v>
      </c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</row>
    <row r="25">
      <c r="A25" s="10" t="inlineStr">
        <is>
          <t>Cargo MD</t>
        </is>
      </c>
      <c r="B25" s="11" t="n">
        <v>46088</v>
      </c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</row>
    <row r="26">
      <c r="A26" s="10" t="inlineStr">
        <is>
          <t>Cargo LDF</t>
        </is>
      </c>
      <c r="B26" s="11" t="n">
        <v>7452</v>
      </c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</row>
    <row r="27">
      <c r="A27" s="10" t="inlineStr">
        <is>
          <t>Cargo LDA</t>
        </is>
      </c>
      <c r="B27" s="11" t="n">
        <v>5774</v>
      </c>
    </row>
    <row r="28">
      <c r="A28" s="10" t="inlineStr">
        <is>
          <t>Cargo Bulk</t>
        </is>
      </c>
      <c r="B28" s="11" t="n">
        <v>450</v>
      </c>
    </row>
    <row r="29">
      <c r="A29" s="10" t="inlineStr">
        <is>
          <t>Lateral Inbalance</t>
        </is>
      </c>
      <c r="B29" s="11" t="n">
        <v>126.9680000000003</v>
      </c>
      <c r="AA29" s="15" t="n"/>
      <c r="AB29" s="15" t="n"/>
      <c r="AC29" s="15" t="n"/>
      <c r="AD29" s="15" t="n"/>
      <c r="AE29" s="15" t="n"/>
      <c r="AF29" s="15" t="n"/>
      <c r="AG29" s="15" t="n"/>
      <c r="AH29" s="15" t="n"/>
      <c r="AI29" s="15" t="n"/>
      <c r="AJ29" s="15" t="n"/>
      <c r="AK29" s="15" t="n"/>
    </row>
    <row r="30">
      <c r="AA30" s="15" t="n"/>
      <c r="AB30" s="15" t="n"/>
      <c r="AC30" s="15" t="n"/>
      <c r="AD30" s="15" t="n"/>
      <c r="AE30" s="15" t="n"/>
      <c r="AF30" s="15" t="n"/>
      <c r="AG30" s="15" t="n"/>
      <c r="AH30" s="15" t="n"/>
      <c r="AI30" s="15" t="n"/>
      <c r="AJ30" s="15" t="n"/>
      <c r="AK30" s="15" t="n"/>
    </row>
    <row r="31">
      <c r="B31" s="5" t="inlineStr">
        <is>
          <t>Prepared by:</t>
        </is>
      </c>
      <c r="C31" t="inlineStr">
        <is>
          <t>Julian Londoño - 1128269321</t>
        </is>
      </c>
      <c r="E31" s="3" t="n"/>
      <c r="H31" s="4" t="n"/>
      <c r="J31" s="5" t="n"/>
      <c r="K31" s="5" t="n"/>
      <c r="M31" s="5" t="inlineStr">
        <is>
          <t>Prepared by:</t>
        </is>
      </c>
      <c r="N31" t="inlineStr">
        <is>
          <t>Julian Londoño - 1128269321</t>
        </is>
      </c>
      <c r="P31" s="3" t="n"/>
      <c r="S31" s="4" t="n"/>
    </row>
    <row r="32">
      <c r="B32" s="5" t="inlineStr">
        <is>
          <t>Approved by:</t>
        </is>
      </c>
      <c r="C32" t="inlineStr">
        <is>
          <t>Julian Londoño - 1128269321</t>
        </is>
      </c>
      <c r="E32" s="3" t="n"/>
      <c r="H32" s="4" t="inlineStr">
        <is>
          <t>Captain Signature:</t>
        </is>
      </c>
      <c r="I32" s="5" t="inlineStr">
        <is>
          <t>Digitally Signed trught mBriefing App</t>
        </is>
      </c>
      <c r="M32" s="5" t="inlineStr">
        <is>
          <t>Approved by:</t>
        </is>
      </c>
      <c r="N32" t="inlineStr">
        <is>
          <t>Julian Londoño - 1128269321</t>
        </is>
      </c>
      <c r="P32" s="3" t="n"/>
      <c r="S32" s="4" t="inlineStr">
        <is>
          <t>Captain Signature:</t>
        </is>
      </c>
      <c r="T32" s="5" t="inlineStr">
        <is>
          <t>Digitally Signed trught mBriefing App</t>
        </is>
      </c>
      <c r="U32" s="5" t="n"/>
    </row>
    <row r="36">
      <c r="A36" t="inlineStr">
        <is>
          <t>MTOW</t>
        </is>
      </c>
      <c r="B36" t="n">
        <v>227000</v>
      </c>
    </row>
    <row r="37">
      <c r="A37" t="inlineStr">
        <is>
          <t>MTOW-P</t>
        </is>
      </c>
      <c r="B37" t="n">
        <v>233000</v>
      </c>
    </row>
    <row r="38">
      <c r="A38" t="inlineStr">
        <is>
          <t>MTOW-ZFW</t>
        </is>
      </c>
      <c r="B38">
        <f>B19+B15</f>
        <v/>
      </c>
    </row>
    <row r="40">
      <c r="A40" t="inlineStr">
        <is>
          <t>MLW</t>
        </is>
      </c>
      <c r="B40" t="n">
        <v>187000</v>
      </c>
    </row>
    <row r="41">
      <c r="A41" t="inlineStr">
        <is>
          <t>MLW-P</t>
        </is>
      </c>
      <c r="B41" t="n">
        <v>187000</v>
      </c>
    </row>
  </sheetData>
  <mergeCells count="1">
    <mergeCell ref="D6:E6"/>
  </mergeCells>
  <pageMargins left="0.3543307086614174" right="0.1968503937007874" top="0.7480314960629921" bottom="0.7480314960629921" header="0.2362204724409449" footer="0.3149606299212598"/>
  <pageSetup orientation="landscape" paperSize="119" horizontalDpi="1200" verticalDpi="1200"/>
  <headerFooter>
    <oddHeader>&amp;C&amp;"-,Negrita"&amp;18 WEIGHT &amp; BALANCE REPORT</oddHeader>
    <oddFooter>&amp;L&amp;8 This aircraft has been loaded according to these instructions and deviations have been recorded._x000a_All ULD,s and cargo have been secured according to WM  Company Policies._x000a_All ULDs have been checked for airworthiness according to WM  Company Policies.</oddFooter>
    <evenHeader/>
    <evenFooter/>
    <firstHeader/>
    <firstFooter/>
  </headerFooter>
  <colBreaks count="1" manualBreakCount="1">
    <brk id="11" min="0" max="1048575" man="1"/>
  </col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Julian  Londono Gomez</dc:creator>
  <dcterms:created xmlns:dcterms="http://purl.org/dc/terms/" xmlns:xsi="http://www.w3.org/2001/XMLSchema-instance" xsi:type="dcterms:W3CDTF">2025-04-25T20:47:09Z</dcterms:created>
  <dcterms:modified xmlns:dcterms="http://purl.org/dc/terms/" xmlns:xsi="http://www.w3.org/2001/XMLSchema-instance" xsi:type="dcterms:W3CDTF">2025-05-13T13:39:40Z</dcterms:modified>
  <cp:lastModifiedBy>Julian  Londono Gomez</cp:lastModifiedBy>
  <cp:lastPrinted>2025-05-09T14:51:48Z</cp:lastPrinted>
</cp:coreProperties>
</file>